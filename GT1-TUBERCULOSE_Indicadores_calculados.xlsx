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17256" windowHeight="5832"/>
  </bookViews>
  <sheets>
    <sheet name="Página1" sheetId="1" r:id="rId1"/>
  </sheets>
  <calcPr calcId="152511"/>
</workbook>
</file>

<file path=xl/calcChain.xml><?xml version="1.0" encoding="utf-8"?>
<calcChain xmlns="http://schemas.openxmlformats.org/spreadsheetml/2006/main">
  <c r="F35" i="1" l="1"/>
  <c r="E35" i="1"/>
  <c r="D35" i="1"/>
  <c r="C35" i="1"/>
  <c r="B35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</calcChain>
</file>

<file path=xl/sharedStrings.xml><?xml version="1.0" encoding="utf-8"?>
<sst xmlns="http://schemas.openxmlformats.org/spreadsheetml/2006/main" count="37" uniqueCount="35">
  <si>
    <t>DADOS</t>
  </si>
  <si>
    <t>Número de casos confirmados</t>
  </si>
  <si>
    <t>Número de casos com confirmação laboratórial</t>
  </si>
  <si>
    <t>Número de casos novos</t>
  </si>
  <si>
    <t>Número de obitos</t>
  </si>
  <si>
    <t>Uso do TRM (Teste Rápido Molecular): Independente do resultado</t>
  </si>
  <si>
    <t>TRM (Teste Rápido Molecular) não utilizado</t>
  </si>
  <si>
    <t>Proporção de cura</t>
  </si>
  <si>
    <t>Abandono do tratamento</t>
  </si>
  <si>
    <t>Inicio de tratamento</t>
  </si>
  <si>
    <t>Recidiva</t>
  </si>
  <si>
    <t>casos com desfecho conhecido</t>
  </si>
  <si>
    <t>recidiva com inicio de tratamento</t>
  </si>
  <si>
    <t>Coinfecção TB/HIV</t>
  </si>
  <si>
    <t>Casos testados para HIV</t>
  </si>
  <si>
    <t>casos positivos para HIV</t>
  </si>
  <si>
    <t>HIV positivo</t>
  </si>
  <si>
    <t>Casos em populações vulneráveis</t>
  </si>
  <si>
    <t>PPL</t>
  </si>
  <si>
    <t>População em situação de rua</t>
  </si>
  <si>
    <t>Indígenas</t>
  </si>
  <si>
    <t>*Número da população de Parnaíba (de acordo com o senso de 2022)</t>
  </si>
  <si>
    <t>INDICADORES</t>
  </si>
  <si>
    <t>2020</t>
  </si>
  <si>
    <t>2021</t>
  </si>
  <si>
    <t>2022</t>
  </si>
  <si>
    <t>2023</t>
  </si>
  <si>
    <t>2024</t>
  </si>
  <si>
    <t>Taxa de incidência</t>
  </si>
  <si>
    <t>Taxa de mortalidade</t>
  </si>
  <si>
    <t>Confirmação laboratorial</t>
  </si>
  <si>
    <t>Uso do TRM</t>
  </si>
  <si>
    <t>Abandono de tratamento</t>
  </si>
  <si>
    <t>Proporção de retratamento</t>
  </si>
  <si>
    <t>Casos em população vulnerável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</si>
</sst>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%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0" borderId="0" xfId="0" applyFont="1" applyAlignment="1"/>
    <xf numFmtId="0" fontId="1" fillId="4" borderId="0" xfId="0" applyFont="1" applyFill="1" applyAlignment="1"/>
    <xf numFmtId="0" fontId="1" fillId="4" borderId="0" xfId="0" applyFont="1" applyFill="1"/>
    <xf numFmtId="3" fontId="1" fillId="0" borderId="0" xfId="0" applyNumberFormat="1" applyFont="1" applyAlignme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ágina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ELA_1" displayName="TABELA_1" ref="A26:F35">
  <tableColumns count="6">
    <tableColumn id="1" name="INDICADORES"/>
    <tableColumn id="2" name="2020"/>
    <tableColumn id="3" name="2021"/>
    <tableColumn id="4" name="2022"/>
    <tableColumn id="5" name="2023"/>
    <tableColumn id="6" name="2024"/>
  </tableColumns>
  <tableStyleInfo name="Página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G35"/>
  <sheetViews>
    <sheetView tabSelected="1" workbookViewId="0">
      <pane ySplit="1" topLeftCell="A14" activePane="bottomLeft" state="frozen"/>
      <selection pane="bottomLeft" activeCell="F26" sqref="F26"/>
    </sheetView>
  </sheetViews>
  <sheetFormatPr defaultColWidth="12.6640625" defaultRowHeight="15.75" customHeight="1" x14ac:dyDescent="0.25"/>
  <cols>
    <col min="1" max="1" width="59.109375" customWidth="1"/>
    <col min="2" max="2" width="13.109375" customWidth="1"/>
    <col min="7" max="8" width="28.6640625" customWidth="1"/>
  </cols>
  <sheetData>
    <row r="1" spans="1:7" ht="13.2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3"/>
    </row>
    <row r="2" spans="1:7" ht="13.2" x14ac:dyDescent="0.25">
      <c r="A2" s="3" t="s">
        <v>1</v>
      </c>
      <c r="B2" s="3">
        <v>68</v>
      </c>
      <c r="C2" s="3">
        <v>74</v>
      </c>
      <c r="D2" s="3">
        <v>89</v>
      </c>
      <c r="E2" s="3">
        <v>103</v>
      </c>
      <c r="F2" s="3">
        <v>90</v>
      </c>
      <c r="G2" s="3"/>
    </row>
    <row r="3" spans="1:7" ht="13.2" x14ac:dyDescent="0.25">
      <c r="A3" s="3" t="s">
        <v>2</v>
      </c>
      <c r="B3" s="3">
        <v>42</v>
      </c>
      <c r="C3" s="3">
        <v>40</v>
      </c>
      <c r="D3" s="3">
        <v>46</v>
      </c>
      <c r="E3" s="3">
        <v>69</v>
      </c>
      <c r="F3" s="3">
        <v>57</v>
      </c>
      <c r="G3" s="3"/>
    </row>
    <row r="4" spans="1:7" ht="13.2" x14ac:dyDescent="0.25">
      <c r="A4" s="3" t="s">
        <v>3</v>
      </c>
      <c r="B4" s="3">
        <v>59</v>
      </c>
      <c r="C4" s="3">
        <v>66</v>
      </c>
      <c r="D4" s="3">
        <v>70</v>
      </c>
      <c r="E4" s="3">
        <v>77</v>
      </c>
      <c r="F4" s="3">
        <v>77</v>
      </c>
      <c r="G4" s="3"/>
    </row>
    <row r="5" spans="1:7" ht="13.2" x14ac:dyDescent="0.25">
      <c r="A5" s="3" t="s">
        <v>4</v>
      </c>
      <c r="B5" s="3">
        <v>4</v>
      </c>
      <c r="C5" s="3">
        <v>4</v>
      </c>
      <c r="D5" s="3">
        <v>5</v>
      </c>
      <c r="E5" s="3">
        <v>7</v>
      </c>
      <c r="F5" s="3">
        <v>5</v>
      </c>
      <c r="G5" s="3"/>
    </row>
    <row r="6" spans="1:7" ht="13.2" x14ac:dyDescent="0.25">
      <c r="A6" s="3" t="s">
        <v>5</v>
      </c>
      <c r="B6" s="3">
        <v>18</v>
      </c>
      <c r="C6" s="3">
        <v>14</v>
      </c>
      <c r="D6" s="3">
        <v>15</v>
      </c>
      <c r="E6" s="3">
        <v>66</v>
      </c>
      <c r="F6" s="3">
        <v>66</v>
      </c>
      <c r="G6" s="3"/>
    </row>
    <row r="7" spans="1:7" ht="13.2" x14ac:dyDescent="0.25">
      <c r="A7" s="3" t="s">
        <v>6</v>
      </c>
      <c r="B7" s="3">
        <v>50</v>
      </c>
      <c r="C7" s="3">
        <v>60</v>
      </c>
      <c r="D7" s="3">
        <v>74</v>
      </c>
      <c r="E7" s="3">
        <v>37</v>
      </c>
      <c r="F7" s="3">
        <v>24</v>
      </c>
      <c r="G7" s="3"/>
    </row>
    <row r="8" spans="1:7" ht="13.2" x14ac:dyDescent="0.25">
      <c r="A8" s="3" t="s">
        <v>7</v>
      </c>
      <c r="B8" s="3">
        <v>54</v>
      </c>
      <c r="C8" s="3">
        <v>44</v>
      </c>
      <c r="D8" s="3">
        <v>50</v>
      </c>
      <c r="E8" s="3">
        <v>68</v>
      </c>
      <c r="F8" s="3">
        <v>60</v>
      </c>
      <c r="G8" s="3"/>
    </row>
    <row r="9" spans="1:7" ht="13.2" x14ac:dyDescent="0.25">
      <c r="A9" s="3" t="s">
        <v>8</v>
      </c>
      <c r="B9" s="3">
        <v>1</v>
      </c>
      <c r="C9" s="3">
        <v>6</v>
      </c>
      <c r="D9" s="3">
        <v>16</v>
      </c>
      <c r="E9" s="3">
        <v>9</v>
      </c>
      <c r="F9" s="3">
        <v>5</v>
      </c>
      <c r="G9" s="3"/>
    </row>
    <row r="10" spans="1:7" ht="13.2" x14ac:dyDescent="0.25">
      <c r="A10" s="3" t="s">
        <v>9</v>
      </c>
      <c r="B10" s="3">
        <v>67</v>
      </c>
      <c r="C10" s="3">
        <v>71</v>
      </c>
      <c r="D10" s="3">
        <v>89</v>
      </c>
      <c r="E10" s="3">
        <v>102</v>
      </c>
      <c r="F10" s="3">
        <v>88</v>
      </c>
      <c r="G10" s="3"/>
    </row>
    <row r="11" spans="1:7" ht="13.2" x14ac:dyDescent="0.25">
      <c r="A11" s="3" t="s">
        <v>10</v>
      </c>
      <c r="B11" s="3">
        <v>8</v>
      </c>
      <c r="C11" s="3">
        <v>4</v>
      </c>
      <c r="D11" s="3">
        <v>7</v>
      </c>
      <c r="E11" s="3">
        <v>4</v>
      </c>
      <c r="F11" s="3">
        <v>4</v>
      </c>
    </row>
    <row r="12" spans="1:7" ht="13.2" x14ac:dyDescent="0.25">
      <c r="A12" s="3" t="s">
        <v>11</v>
      </c>
      <c r="B12" s="3">
        <v>65</v>
      </c>
      <c r="C12" s="3">
        <v>74</v>
      </c>
      <c r="D12" s="3">
        <v>89</v>
      </c>
      <c r="E12" s="3">
        <v>96</v>
      </c>
      <c r="F12" s="3">
        <v>83</v>
      </c>
    </row>
    <row r="13" spans="1:7" ht="13.2" x14ac:dyDescent="0.25">
      <c r="A13" s="3" t="s">
        <v>12</v>
      </c>
      <c r="B13" s="3">
        <v>8</v>
      </c>
      <c r="C13" s="3">
        <v>4</v>
      </c>
      <c r="D13" s="3">
        <v>7</v>
      </c>
      <c r="E13" s="3">
        <v>4</v>
      </c>
      <c r="F13" s="3">
        <v>4</v>
      </c>
    </row>
    <row r="14" spans="1:7" ht="13.2" x14ac:dyDescent="0.25">
      <c r="A14" s="4" t="s">
        <v>13</v>
      </c>
      <c r="B14" s="5"/>
      <c r="C14" s="5"/>
      <c r="D14" s="5"/>
      <c r="E14" s="5"/>
      <c r="F14" s="5"/>
    </row>
    <row r="15" spans="1:7" ht="13.2" x14ac:dyDescent="0.25">
      <c r="A15" s="3" t="s">
        <v>14</v>
      </c>
      <c r="B15" s="3">
        <v>56</v>
      </c>
      <c r="C15" s="3">
        <v>53</v>
      </c>
      <c r="D15" s="3">
        <v>77</v>
      </c>
      <c r="E15" s="3">
        <v>77</v>
      </c>
      <c r="F15" s="3">
        <v>82</v>
      </c>
    </row>
    <row r="16" spans="1:7" ht="13.2" x14ac:dyDescent="0.25">
      <c r="A16" s="3" t="s">
        <v>15</v>
      </c>
      <c r="B16" s="3">
        <v>1</v>
      </c>
      <c r="C16" s="3">
        <v>4</v>
      </c>
      <c r="D16" s="3">
        <v>7</v>
      </c>
      <c r="E16" s="3">
        <v>8</v>
      </c>
      <c r="F16" s="3">
        <v>4</v>
      </c>
    </row>
    <row r="17" spans="1:6" ht="13.2" x14ac:dyDescent="0.25">
      <c r="A17" s="3" t="s">
        <v>16</v>
      </c>
      <c r="B17" s="3">
        <v>1</v>
      </c>
      <c r="C17" s="3">
        <v>4</v>
      </c>
      <c r="D17" s="3">
        <v>7</v>
      </c>
      <c r="E17" s="3">
        <v>8</v>
      </c>
      <c r="F17" s="3">
        <v>4</v>
      </c>
    </row>
    <row r="18" spans="1:6" ht="13.2" x14ac:dyDescent="0.25">
      <c r="A18" s="4" t="s">
        <v>17</v>
      </c>
      <c r="B18" s="5"/>
      <c r="C18" s="5"/>
      <c r="D18" s="5"/>
      <c r="E18" s="5"/>
      <c r="F18" s="5"/>
    </row>
    <row r="19" spans="1:6" ht="13.2" x14ac:dyDescent="0.25">
      <c r="A19" s="3" t="s">
        <v>18</v>
      </c>
      <c r="B19" s="3">
        <v>0</v>
      </c>
      <c r="C19" s="3">
        <v>3</v>
      </c>
      <c r="D19" s="3">
        <v>1</v>
      </c>
      <c r="E19" s="3">
        <v>3</v>
      </c>
      <c r="F19" s="3">
        <v>0</v>
      </c>
    </row>
    <row r="20" spans="1:6" ht="13.2" x14ac:dyDescent="0.25">
      <c r="A20" s="3" t="s">
        <v>19</v>
      </c>
      <c r="B20" s="3">
        <v>0</v>
      </c>
      <c r="C20" s="3">
        <v>1</v>
      </c>
      <c r="D20" s="3">
        <v>1</v>
      </c>
      <c r="E20" s="3">
        <v>8</v>
      </c>
      <c r="F20" s="3">
        <v>5</v>
      </c>
    </row>
    <row r="21" spans="1:6" ht="13.2" x14ac:dyDescent="0.25">
      <c r="A21" s="3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</row>
    <row r="23" spans="1:6" ht="13.2" x14ac:dyDescent="0.25">
      <c r="A23" s="3" t="s">
        <v>21</v>
      </c>
      <c r="D23" s="6">
        <v>162159</v>
      </c>
    </row>
    <row r="26" spans="1:6" ht="22.5" customHeight="1" x14ac:dyDescent="0.25">
      <c r="A26" s="11" t="s">
        <v>22</v>
      </c>
      <c r="B26" s="10" t="s">
        <v>23</v>
      </c>
      <c r="C26" s="10" t="s">
        <v>24</v>
      </c>
      <c r="D26" s="10" t="s">
        <v>25</v>
      </c>
      <c r="E26" s="10" t="s">
        <v>26</v>
      </c>
      <c r="F26" s="10" t="s">
        <v>27</v>
      </c>
    </row>
    <row r="27" spans="1:6" ht="22.5" customHeight="1" x14ac:dyDescent="0.25">
      <c r="A27" s="7" t="s">
        <v>28</v>
      </c>
      <c r="B27" s="8">
        <f>(B4/D23)</f>
        <v>3.6384042822168363E-4</v>
      </c>
      <c r="C27" s="8">
        <f t="shared" ref="C27:F27" si="0">(C4/162159)</f>
        <v>4.0700793665476479E-4</v>
      </c>
      <c r="D27" s="8">
        <f t="shared" si="0"/>
        <v>4.3167508433081112E-4</v>
      </c>
      <c r="E27" s="8">
        <f t="shared" si="0"/>
        <v>4.7484259276389223E-4</v>
      </c>
      <c r="F27" s="8">
        <f t="shared" si="0"/>
        <v>4.7484259276389223E-4</v>
      </c>
    </row>
    <row r="28" spans="1:6" ht="22.5" customHeight="1" x14ac:dyDescent="0.25">
      <c r="A28" s="7" t="s">
        <v>29</v>
      </c>
      <c r="B28" s="8">
        <f t="shared" ref="B28:F28" si="1">(B5/162159)</f>
        <v>2.4667147676046348E-5</v>
      </c>
      <c r="C28" s="8">
        <f t="shared" si="1"/>
        <v>2.4667147676046348E-5</v>
      </c>
      <c r="D28" s="8">
        <f t="shared" si="1"/>
        <v>3.0833934595057934E-5</v>
      </c>
      <c r="E28" s="8">
        <f t="shared" si="1"/>
        <v>4.3167508433081114E-5</v>
      </c>
      <c r="F28" s="8">
        <f t="shared" si="1"/>
        <v>3.0833934595057934E-5</v>
      </c>
    </row>
    <row r="29" spans="1:6" ht="22.5" customHeight="1" x14ac:dyDescent="0.25">
      <c r="A29" s="7" t="s">
        <v>30</v>
      </c>
      <c r="B29" s="8">
        <f t="shared" ref="B29:F29" si="2">(B3/B4)</f>
        <v>0.71186440677966101</v>
      </c>
      <c r="C29" s="8">
        <f t="shared" si="2"/>
        <v>0.60606060606060608</v>
      </c>
      <c r="D29" s="8">
        <f t="shared" si="2"/>
        <v>0.65714285714285714</v>
      </c>
      <c r="E29" s="8">
        <f t="shared" si="2"/>
        <v>0.89610389610389607</v>
      </c>
      <c r="F29" s="8">
        <f t="shared" si="2"/>
        <v>0.74025974025974028</v>
      </c>
    </row>
    <row r="30" spans="1:6" ht="22.5" customHeight="1" x14ac:dyDescent="0.25">
      <c r="A30" s="7" t="s">
        <v>31</v>
      </c>
      <c r="B30" s="8">
        <f t="shared" ref="B30:F30" si="3">(B6/B4)</f>
        <v>0.30508474576271188</v>
      </c>
      <c r="C30" s="8">
        <f t="shared" si="3"/>
        <v>0.21212121212121213</v>
      </c>
      <c r="D30" s="8">
        <f t="shared" si="3"/>
        <v>0.21428571428571427</v>
      </c>
      <c r="E30" s="8">
        <f t="shared" si="3"/>
        <v>0.8571428571428571</v>
      </c>
      <c r="F30" s="8">
        <f t="shared" si="3"/>
        <v>0.8571428571428571</v>
      </c>
    </row>
    <row r="31" spans="1:6" ht="22.5" customHeight="1" x14ac:dyDescent="0.25">
      <c r="A31" s="7" t="s">
        <v>7</v>
      </c>
      <c r="B31" s="9">
        <f t="shared" ref="B31:F31" si="4">(B8/B12)</f>
        <v>0.83076923076923082</v>
      </c>
      <c r="C31" s="9">
        <f t="shared" si="4"/>
        <v>0.59459459459459463</v>
      </c>
      <c r="D31" s="9">
        <f t="shared" si="4"/>
        <v>0.5617977528089888</v>
      </c>
      <c r="E31" s="9">
        <f t="shared" si="4"/>
        <v>0.70833333333333337</v>
      </c>
      <c r="F31" s="9">
        <f t="shared" si="4"/>
        <v>0.72289156626506024</v>
      </c>
    </row>
    <row r="32" spans="1:6" ht="22.5" customHeight="1" x14ac:dyDescent="0.25">
      <c r="A32" s="7" t="s">
        <v>32</v>
      </c>
      <c r="B32" s="8">
        <f t="shared" ref="B32:F32" si="5">(B9/B12)</f>
        <v>1.5384615384615385E-2</v>
      </c>
      <c r="C32" s="8">
        <f t="shared" si="5"/>
        <v>8.1081081081081086E-2</v>
      </c>
      <c r="D32" s="8">
        <f t="shared" si="5"/>
        <v>0.1797752808988764</v>
      </c>
      <c r="E32" s="8">
        <f t="shared" si="5"/>
        <v>9.375E-2</v>
      </c>
      <c r="F32" s="8">
        <f t="shared" si="5"/>
        <v>6.0240963855421686E-2</v>
      </c>
    </row>
    <row r="33" spans="1:6" ht="22.5" customHeight="1" x14ac:dyDescent="0.25">
      <c r="A33" s="7" t="s">
        <v>33</v>
      </c>
      <c r="B33" s="8">
        <f t="shared" ref="B33:F33" si="6">(B13/B2)</f>
        <v>0.11764705882352941</v>
      </c>
      <c r="C33" s="8">
        <f t="shared" si="6"/>
        <v>5.4054054054054057E-2</v>
      </c>
      <c r="D33" s="8">
        <f t="shared" si="6"/>
        <v>7.8651685393258425E-2</v>
      </c>
      <c r="E33" s="8">
        <f t="shared" si="6"/>
        <v>3.8834951456310676E-2</v>
      </c>
      <c r="F33" s="8">
        <f t="shared" si="6"/>
        <v>4.4444444444444446E-2</v>
      </c>
    </row>
    <row r="34" spans="1:6" ht="22.5" customHeight="1" x14ac:dyDescent="0.25">
      <c r="A34" s="7" t="s">
        <v>13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</row>
    <row r="35" spans="1:6" ht="22.5" customHeight="1" x14ac:dyDescent="0.25">
      <c r="A35" s="7" t="s">
        <v>34</v>
      </c>
      <c r="B35" s="8">
        <f t="shared" ref="B35:F35" si="7">(B19+B20+B21+B17)/B2</f>
        <v>1.4705882352941176E-2</v>
      </c>
      <c r="C35" s="8">
        <f t="shared" si="7"/>
        <v>0.10810810810810811</v>
      </c>
      <c r="D35" s="8">
        <f t="shared" si="7"/>
        <v>0.10112359550561797</v>
      </c>
      <c r="E35" s="8">
        <f t="shared" si="7"/>
        <v>0.18446601941747573</v>
      </c>
      <c r="F35" s="8">
        <f t="shared" si="7"/>
        <v>0.1</v>
      </c>
    </row>
  </sheetData>
  <dataValidations count="1">
    <dataValidation type="custom" allowBlank="1" showDropDown="1" sqref="B27:F35">
      <formula1>AND(ISNUMBER(B27),(NOT(OR(NOT(ISERROR(DATEVALUE(B27))), AND(ISNUMBER(B27), LEFT(CELL("format", B27))="D")))))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2026-02-04T00:49:43Z</dcterms:modified>
</cp:coreProperties>
</file>